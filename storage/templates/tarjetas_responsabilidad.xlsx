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xampp\htdocs\sistema_hospital\storage\templates\"/>
    </mc:Choice>
  </mc:AlternateContent>
  <xr:revisionPtr revIDLastSave="0" documentId="13_ncr:1_{A8D35F48-95F6-4399-94BE-BF6FD8DD5685}" xr6:coauthVersionLast="47" xr6:coauthVersionMax="47" xr10:uidLastSave="{00000000-0000-0000-0000-000000000000}"/>
  <bookViews>
    <workbookView xWindow="-108" yWindow="-108" windowWidth="23256" windowHeight="12456" tabRatio="881" activeTab="2" xr2:uid="{00000000-000D-0000-FFFF-FFFF00000000}"/>
  </bookViews>
  <sheets>
    <sheet name="2158" sheetId="1" r:id="rId1"/>
    <sheet name="2158 (2)" sheetId="8" r:id="rId2"/>
    <sheet name="2158 (3)" sheetId="9" r:id="rId3"/>
  </sheets>
  <definedNames>
    <definedName name="_xlnm.Print_Area" localSheetId="0">'2158'!$A$1:$H$36</definedName>
    <definedName name="_xlnm.Print_Area" localSheetId="1">'2158 (2)'!$A$1:$H$36</definedName>
    <definedName name="_xlnm.Print_Area" localSheetId="2">'2158 (3)'!$A$1:$H$36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9" l="1"/>
  <c r="G10" i="9"/>
  <c r="G10" i="8" l="1"/>
  <c r="G11" i="9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11" i="8"/>
  <c r="G12" i="8" s="1"/>
  <c r="G13" i="8" s="1"/>
  <c r="G14" i="8" s="1"/>
  <c r="G15" i="8" s="1"/>
  <c r="G16" i="8" s="1"/>
  <c r="G17" i="8" s="1"/>
  <c r="G18" i="8" s="1"/>
  <c r="G19" i="8" s="1"/>
  <c r="G20" i="8" s="1"/>
  <c r="G21" i="8" s="1"/>
  <c r="G22" i="8" s="1"/>
  <c r="G23" i="8" s="1"/>
  <c r="G24" i="8" s="1"/>
  <c r="G25" i="8" s="1"/>
  <c r="G26" i="8" s="1"/>
  <c r="G27" i="8" s="1"/>
  <c r="G28" i="8" s="1"/>
  <c r="G29" i="8" s="1"/>
  <c r="G30" i="8" s="1"/>
  <c r="G31" i="8" s="1"/>
  <c r="G11" i="1"/>
  <c r="G12" i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</calcChain>
</file>

<file path=xl/sharedStrings.xml><?xml version="1.0" encoding="utf-8"?>
<sst xmlns="http://schemas.openxmlformats.org/spreadsheetml/2006/main" count="132" uniqueCount="52">
  <si>
    <t>Sor. Julia Arzú Centeno</t>
  </si>
  <si>
    <t>4528213-7</t>
  </si>
  <si>
    <t>Servicio de Neonatos</t>
  </si>
  <si>
    <t>Encargada</t>
  </si>
  <si>
    <t>VIENEN</t>
  </si>
  <si>
    <t>ULTIMA LINEA</t>
  </si>
  <si>
    <t xml:space="preserve">       Evelyn Castañeda de Tejada</t>
  </si>
  <si>
    <t>Vo.Bo. M. Sc. Lesther Oswaldo Paolo Díaz Santiago</t>
  </si>
  <si>
    <t>Gerente Administrativo Financiero</t>
  </si>
  <si>
    <t>0002C5FA</t>
  </si>
  <si>
    <t xml:space="preserve">Escritorio de metal  color gris  con gavetas </t>
  </si>
  <si>
    <t>HC-1232.03-289</t>
  </si>
  <si>
    <t xml:space="preserve">Escritorio de metal color negro con tablero de formica </t>
  </si>
  <si>
    <t>002A8668</t>
  </si>
  <si>
    <t>Silla giratoria tipo secretarial, asiento y respaldo de tela color negra</t>
  </si>
  <si>
    <t>0021D5D8</t>
  </si>
  <si>
    <t>Bomba de infusión marca JMS modelo OT-711 serie 01382</t>
  </si>
  <si>
    <t>0021D616</t>
  </si>
  <si>
    <t>Bomba de infusión marca JMS modelo OT-711 serie 01383</t>
  </si>
  <si>
    <t>0021D66C</t>
  </si>
  <si>
    <t>Bomba de infusión marca JMS modelo OT-711 serie 01384</t>
  </si>
  <si>
    <t>0025CB63</t>
  </si>
  <si>
    <t>Bomba de infusión marca JMS modelo OT-711 serie 01252</t>
  </si>
  <si>
    <t>002CCCB5</t>
  </si>
  <si>
    <t>Bomba de infusión marca JMS modelo OT-711 serie 01727</t>
  </si>
  <si>
    <t>002CCCB8</t>
  </si>
  <si>
    <t>Bomba de infusión marca JMS modelo OT-711 serie 01728</t>
  </si>
  <si>
    <t>002CCBAE</t>
  </si>
  <si>
    <t>Bomba de infusión marca JMS modelo OT-711 serie 01731</t>
  </si>
  <si>
    <t>002CCC2E</t>
  </si>
  <si>
    <t>Bomba de infusión marca JMS modelo OT-711 serie 01729</t>
  </si>
  <si>
    <t>002CCCCD</t>
  </si>
  <si>
    <t>Bomba de infusión marca JMS modelo OT-711 serie 01730</t>
  </si>
  <si>
    <t>002CCDB7</t>
  </si>
  <si>
    <t>Perfusora marca JMS modelo SP-500 Serie : 3110461</t>
  </si>
  <si>
    <t>002CCD5A</t>
  </si>
  <si>
    <t>Perfusora marca JMS modelo SP-500 Serie : 3110441</t>
  </si>
  <si>
    <t>002CCDB9</t>
  </si>
  <si>
    <t>Perfusora marca JMS modelo SP-500 Serie : 3110421</t>
  </si>
  <si>
    <t>002CCD68</t>
  </si>
  <si>
    <t>Perfusora marca JMS modelo SP-500 Serie : 3100991</t>
  </si>
  <si>
    <t>002CCD9B</t>
  </si>
  <si>
    <t>Perfusora marca JMS modelo SP-500 Serie : 3100771</t>
  </si>
  <si>
    <t>002CCD87</t>
  </si>
  <si>
    <t>Perfusora marca JMS modelo SP-500 Serie : 3110131</t>
  </si>
  <si>
    <t>0046187D</t>
  </si>
  <si>
    <t>Perfusora marca HAWKMED modelo HK-400 III Serie : 03011693</t>
  </si>
  <si>
    <t>001B136D</t>
  </si>
  <si>
    <t>Flujometro de un cheque</t>
  </si>
  <si>
    <t>001B14D8</t>
  </si>
  <si>
    <t>Flujometro de Doble cheque</t>
  </si>
  <si>
    <t>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</si>
</sst>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XDR&quot;* #,##0.00_-;\-&quot;XDR&quot;* #,##0.00_-;_-&quot;XDR&quot;* &quot;-&quot;??_-;_-@_-"/>
    <numFmt numFmtId="43" formatCode="_-* #,##0.00_-;\-* #,##0.00_-;_-* &quot;-&quot;??_-;_-@_-"/>
    <numFmt numFmtId="164" formatCode="_-&quot;Q&quot;* #,##0.00_-;\-&quot;Q&quot;* #,##0.00_-;_-&quot;Q&quot;* &quot;-&quot;??_-;_-@_-"/>
    <numFmt numFmtId="165" formatCode="dd/mm/yyyy;@"/>
    <numFmt numFmtId="166" formatCode="&quot;Q&quot;#,##0.00"/>
    <numFmt numFmtId="167" formatCode="_-[$Q-100A]* #,##0.00_-;\-[$Q-100A]* #,##0.00_-;_-[$Q-100A]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name val="Arial"/>
      <family val="2"/>
    </font>
    <font>
      <sz val="16"/>
      <name val="Arial"/>
      <family val="2"/>
    </font>
    <font>
      <b/>
      <sz val="10.5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0" borderId="0"/>
    <xf numFmtId="0" fontId="1" fillId="0" borderId="0"/>
    <xf numFmtId="43" fontId="1" fillId="0" borderId="0"/>
    <xf numFmtId="43" fontId="1" fillId="0" borderId="0"/>
    <xf numFmtId="43" fontId="1" fillId="0" borderId="0"/>
    <xf numFmtId="0" fontId="1" fillId="0" borderId="0"/>
    <xf numFmtId="0" fontId="1" fillId="0" borderId="0"/>
    <xf numFmtId="43" fontId="1" fillId="0" borderId="0"/>
    <xf numFmtId="43" fontId="1" fillId="0" borderId="0"/>
    <xf numFmtId="44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1" applyFont="1" applyAlignment="1">
      <alignment horizontal="center"/>
    </xf>
    <xf numFmtId="0" fontId="2" fillId="0" borderId="0" xfId="1" applyFont="1"/>
    <xf numFmtId="0" fontId="2" fillId="0" borderId="0" xfId="1" applyFont="1" applyAlignment="1">
      <alignment horizontal="left" vertical="center"/>
    </xf>
    <xf numFmtId="0" fontId="3" fillId="0" borderId="0" xfId="0" applyFont="1"/>
    <xf numFmtId="0" fontId="4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1" applyFont="1"/>
    <xf numFmtId="0" fontId="6" fillId="0" borderId="0" xfId="1" applyFont="1" applyAlignment="1">
      <alignment horizontal="left" wrapText="1"/>
    </xf>
    <xf numFmtId="0" fontId="7" fillId="0" borderId="0" xfId="1" applyFont="1" applyAlignment="1">
      <alignment horizontal="left" vertical="center" wrapText="1"/>
    </xf>
    <xf numFmtId="0" fontId="6" fillId="0" borderId="0" xfId="1" applyFont="1" applyAlignment="1">
      <alignment horizontal="left" vertical="center"/>
    </xf>
    <xf numFmtId="0" fontId="8" fillId="0" borderId="0" xfId="1" applyFont="1" applyAlignment="1">
      <alignment horizontal="left"/>
    </xf>
    <xf numFmtId="49" fontId="9" fillId="0" borderId="0" xfId="6" quotePrefix="1" applyNumberFormat="1" applyFont="1" applyAlignment="1">
      <alignment horizontal="center" vertical="center" wrapText="1"/>
    </xf>
    <xf numFmtId="0" fontId="8" fillId="0" borderId="0" xfId="1" applyFont="1" applyAlignment="1">
      <alignment horizontal="center" wrapText="1"/>
    </xf>
    <xf numFmtId="49" fontId="8" fillId="0" borderId="0" xfId="1" applyNumberFormat="1" applyFont="1" applyAlignment="1">
      <alignment horizontal="center" wrapText="1"/>
    </xf>
    <xf numFmtId="0" fontId="8" fillId="0" borderId="0" xfId="1" applyFont="1" applyAlignment="1">
      <alignment horizontal="center" vertical="center" wrapText="1"/>
    </xf>
    <xf numFmtId="0" fontId="10" fillId="0" borderId="0" xfId="1" applyFont="1" applyAlignment="1">
      <alignment horizontal="center" vertical="center"/>
    </xf>
    <xf numFmtId="165" fontId="9" fillId="0" borderId="0" xfId="1" applyNumberFormat="1" applyFont="1" applyAlignment="1">
      <alignment horizontal="center" vertical="center"/>
    </xf>
    <xf numFmtId="49" fontId="9" fillId="0" borderId="0" xfId="6" quotePrefix="1" applyNumberFormat="1" applyFont="1" applyAlignment="1">
      <alignment horizontal="center" vertical="center"/>
    </xf>
    <xf numFmtId="0" fontId="9" fillId="0" borderId="0" xfId="7" applyFont="1" applyAlignment="1">
      <alignment horizontal="center" vertical="center"/>
    </xf>
    <xf numFmtId="0" fontId="9" fillId="0" borderId="0" xfId="7" applyFont="1" applyAlignment="1">
      <alignment horizontal="left" vertical="center" wrapText="1"/>
    </xf>
    <xf numFmtId="166" fontId="9" fillId="0" borderId="0" xfId="1" applyNumberFormat="1" applyFont="1" applyAlignment="1">
      <alignment horizontal="center" vertical="center"/>
    </xf>
    <xf numFmtId="0" fontId="9" fillId="0" borderId="0" xfId="1" applyFont="1" applyAlignment="1">
      <alignment vertical="center"/>
    </xf>
    <xf numFmtId="49" fontId="9" fillId="2" borderId="0" xfId="6" quotePrefix="1" applyNumberFormat="1" applyFont="1" applyFill="1" applyAlignment="1">
      <alignment horizontal="center" vertical="center"/>
    </xf>
    <xf numFmtId="0" fontId="9" fillId="0" borderId="0" xfId="6" applyFont="1" applyAlignment="1">
      <alignment horizontal="center" vertical="center"/>
    </xf>
    <xf numFmtId="49" fontId="9" fillId="0" borderId="0" xfId="2" applyNumberFormat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horizontal="left" vertical="center" wrapText="1"/>
    </xf>
    <xf numFmtId="0" fontId="9" fillId="0" borderId="0" xfId="1" applyFont="1"/>
    <xf numFmtId="0" fontId="9" fillId="0" borderId="0" xfId="2" applyFont="1" applyAlignment="1">
      <alignment horizontal="center" vertical="center"/>
    </xf>
    <xf numFmtId="0" fontId="9" fillId="0" borderId="0" xfId="2" applyFont="1" applyAlignment="1">
      <alignment horizontal="left" vertical="center" wrapText="1"/>
    </xf>
    <xf numFmtId="0" fontId="10" fillId="0" borderId="0" xfId="1" applyFont="1"/>
    <xf numFmtId="0" fontId="9" fillId="0" borderId="0" xfId="2" quotePrefix="1" applyFont="1" applyAlignment="1">
      <alignment horizontal="center" vertical="center"/>
    </xf>
    <xf numFmtId="49" fontId="9" fillId="0" borderId="0" xfId="5" applyNumberFormat="1" applyFont="1" applyAlignment="1">
      <alignment horizontal="center" vertical="center"/>
    </xf>
    <xf numFmtId="0" fontId="10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49" fontId="9" fillId="2" borderId="0" xfId="2" applyNumberFormat="1" applyFont="1" applyFill="1" applyAlignment="1">
      <alignment horizontal="center" vertical="center"/>
    </xf>
    <xf numFmtId="49" fontId="9" fillId="0" borderId="0" xfId="6" applyNumberFormat="1" applyFont="1" applyAlignment="1">
      <alignment horizontal="center" vertical="center"/>
    </xf>
    <xf numFmtId="0" fontId="9" fillId="0" borderId="0" xfId="6" applyFont="1" applyAlignment="1">
      <alignment horizontal="left" vertical="center" wrapText="1"/>
    </xf>
    <xf numFmtId="0" fontId="11" fillId="0" borderId="0" xfId="1" applyFont="1" applyAlignment="1">
      <alignment horizontal="center" vertical="center" wrapText="1"/>
    </xf>
    <xf numFmtId="0" fontId="10" fillId="0" borderId="0" xfId="1" applyFont="1" applyAlignment="1">
      <alignment horizontal="center"/>
    </xf>
    <xf numFmtId="0" fontId="13" fillId="0" borderId="0" xfId="1" applyFont="1" applyAlignment="1">
      <alignment horizontal="center" vertical="center"/>
    </xf>
    <xf numFmtId="0" fontId="14" fillId="0" borderId="0" xfId="1" applyFont="1" applyAlignment="1">
      <alignment horizontal="left"/>
    </xf>
    <xf numFmtId="0" fontId="15" fillId="0" borderId="0" xfId="1" applyFont="1" applyAlignment="1">
      <alignment horizontal="left" vertical="center"/>
    </xf>
    <xf numFmtId="164" fontId="9" fillId="0" borderId="0" xfId="8" applyNumberFormat="1" applyFont="1" applyAlignment="1">
      <alignment horizontal="center" vertical="center"/>
    </xf>
    <xf numFmtId="164" fontId="9" fillId="0" borderId="0" xfId="4" applyNumberFormat="1" applyFont="1" applyAlignment="1">
      <alignment horizontal="center" vertical="center"/>
    </xf>
    <xf numFmtId="164" fontId="9" fillId="0" borderId="0" xfId="1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4" fontId="9" fillId="0" borderId="0" xfId="3" applyNumberFormat="1" applyFont="1" applyAlignment="1">
      <alignment horizontal="center" vertical="center"/>
    </xf>
    <xf numFmtId="164" fontId="9" fillId="2" borderId="0" xfId="3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vertical="center"/>
    </xf>
    <xf numFmtId="0" fontId="11" fillId="0" borderId="0" xfId="2" applyFont="1" applyAlignment="1">
      <alignment horizontal="center" vertical="center" wrapText="1"/>
    </xf>
    <xf numFmtId="164" fontId="11" fillId="0" borderId="0" xfId="1" applyNumberFormat="1" applyFont="1" applyAlignment="1">
      <alignment horizontal="center" vertical="center"/>
    </xf>
    <xf numFmtId="167" fontId="11" fillId="0" borderId="0" xfId="1" applyNumberFormat="1" applyFont="1" applyAlignment="1">
      <alignment horizontal="center"/>
    </xf>
    <xf numFmtId="167" fontId="11" fillId="0" borderId="0" xfId="10" applyNumberFormat="1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2" fillId="0" borderId="0" xfId="1" applyFont="1" applyAlignment="1">
      <alignment vertical="top"/>
    </xf>
  </cellXfs>
  <cellStyles count="11">
    <cellStyle name="Millares" xfId="5" builtinId="3"/>
    <cellStyle name="Millares 4 2" xfId="4" xr:uid="{00000000-0005-0000-0000-000004000000}"/>
    <cellStyle name="Millares 4 2 2" xfId="9" xr:uid="{00000000-0005-0000-0000-000009000000}"/>
    <cellStyle name="Millares 5" xfId="3" xr:uid="{00000000-0005-0000-0000-000003000000}"/>
    <cellStyle name="Millares 5 2" xfId="8" xr:uid="{00000000-0005-0000-0000-000008000000}"/>
    <cellStyle name="Moneda" xfId="10" builtinId="4"/>
    <cellStyle name="Normal" xfId="0" builtinId="0"/>
    <cellStyle name="Normal 5 2" xfId="1" xr:uid="{00000000-0005-0000-0000-000001000000}"/>
    <cellStyle name="Normal 5 2 2" xfId="7" xr:uid="{00000000-0005-0000-0000-000007000000}"/>
    <cellStyle name="Normal 6" xfId="2" xr:uid="{00000000-0005-0000-0000-000002000000}"/>
    <cellStyle name="Normal 6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Q119"/>
  <sheetViews>
    <sheetView topLeftCell="A17" zoomScale="115" zoomScaleNormal="115" workbookViewId="0">
      <selection activeCell="D9" sqref="D9"/>
    </sheetView>
  </sheetViews>
  <sheetFormatPr baseColWidth="10" defaultColWidth="11.44140625" defaultRowHeight="13.8" x14ac:dyDescent="0.25"/>
  <cols>
    <col min="1" max="1" width="11.5546875" style="2" customWidth="1"/>
    <col min="2" max="2" width="12.44140625" style="2" customWidth="1"/>
    <col min="3" max="3" width="12" style="1" customWidth="1"/>
    <col min="4" max="4" width="55.33203125" style="2" customWidth="1"/>
    <col min="5" max="5" width="12.109375" style="3" customWidth="1"/>
    <col min="6" max="6" width="13.88671875" style="1" customWidth="1"/>
    <col min="7" max="7" width="11.44140625" style="1" customWidth="1"/>
    <col min="8" max="8" width="11.44140625" style="2" customWidth="1"/>
    <col min="9" max="17" width="13" style="4" hidden="1" customWidth="1"/>
    <col min="18" max="16384" width="11.44140625" style="2"/>
  </cols>
  <sheetData>
    <row r="1" spans="1:9" ht="12.6" customHeight="1" x14ac:dyDescent="0.25">
      <c r="A1" s="1"/>
    </row>
    <row r="2" spans="1:9" ht="12.6" customHeight="1" x14ac:dyDescent="0.25">
      <c r="A2" s="1"/>
    </row>
    <row r="3" spans="1:9" ht="12" customHeight="1" x14ac:dyDescent="0.25"/>
    <row r="4" spans="1:9" ht="25.5" customHeight="1" x14ac:dyDescent="0.35">
      <c r="A4" s="5"/>
      <c r="B4" s="6"/>
      <c r="C4" s="55" t="s">
        <v>0</v>
      </c>
      <c r="D4" s="55"/>
      <c r="E4" s="55"/>
      <c r="F4" s="56" t="s">
        <v>1</v>
      </c>
      <c r="G4" s="56"/>
      <c r="I4" s="7"/>
    </row>
    <row r="5" spans="1:9" ht="6" customHeight="1" x14ac:dyDescent="0.35">
      <c r="A5" s="5"/>
      <c r="B5" s="5"/>
      <c r="C5" s="6"/>
      <c r="D5" s="6"/>
      <c r="E5" s="6"/>
      <c r="F5" s="6"/>
      <c r="G5" s="6"/>
      <c r="H5" s="6"/>
      <c r="I5" s="7"/>
    </row>
    <row r="6" spans="1:9" ht="15" customHeight="1" x14ac:dyDescent="0.25">
      <c r="A6" s="5"/>
      <c r="B6" s="6"/>
      <c r="C6" s="56" t="s">
        <v>2</v>
      </c>
      <c r="D6" s="56"/>
      <c r="E6" s="56"/>
      <c r="F6" s="56" t="s">
        <v>3</v>
      </c>
      <c r="G6" s="56"/>
    </row>
    <row r="7" spans="1:9" ht="18.75" customHeight="1" x14ac:dyDescent="0.25">
      <c r="A7" s="5"/>
      <c r="B7" s="5"/>
      <c r="C7" s="5"/>
      <c r="D7" s="6"/>
      <c r="E7" s="6"/>
      <c r="F7" s="6"/>
      <c r="G7" s="6"/>
      <c r="H7" s="6"/>
    </row>
    <row r="8" spans="1:9" ht="15" customHeight="1" x14ac:dyDescent="0.25">
      <c r="A8" s="8"/>
      <c r="B8" s="8"/>
      <c r="C8" s="8"/>
      <c r="D8" s="9"/>
      <c r="E8" s="10"/>
      <c r="F8" s="11"/>
    </row>
    <row r="9" spans="1:9" ht="12" customHeight="1" x14ac:dyDescent="0.25">
      <c r="B9" s="12"/>
    </row>
    <row r="10" spans="1:9" ht="12.75" customHeight="1" x14ac:dyDescent="0.25">
      <c r="A10" s="13"/>
      <c r="B10" s="14"/>
      <c r="C10" s="15"/>
      <c r="D10" s="15"/>
      <c r="E10" s="16"/>
    </row>
    <row r="11" spans="1:9" s="22" customFormat="1" ht="14.85" customHeight="1" x14ac:dyDescent="0.3">
      <c r="A11" s="17">
        <v>38717</v>
      </c>
      <c r="B11" s="18" t="s">
        <v>9</v>
      </c>
      <c r="C11" s="19">
        <v>1</v>
      </c>
      <c r="D11" s="20" t="s">
        <v>10</v>
      </c>
      <c r="E11" s="44">
        <v>125</v>
      </c>
      <c r="F11" s="45"/>
      <c r="G11" s="46">
        <f>(E11)</f>
        <v>125</v>
      </c>
    </row>
    <row r="12" spans="1:9" s="22" customFormat="1" ht="14.85" customHeight="1" x14ac:dyDescent="0.3">
      <c r="A12" s="17">
        <v>45127</v>
      </c>
      <c r="B12" s="23" t="s">
        <v>11</v>
      </c>
      <c r="C12" s="24">
        <v>1</v>
      </c>
      <c r="D12" s="20" t="s">
        <v>12</v>
      </c>
      <c r="E12" s="44">
        <v>949</v>
      </c>
      <c r="F12" s="47"/>
      <c r="G12" s="46">
        <f t="shared" ref="G12:G31" si="0">G11+E12</f>
        <v>1074</v>
      </c>
    </row>
    <row r="13" spans="1:9" s="28" customFormat="1" ht="14.85" customHeight="1" x14ac:dyDescent="0.2">
      <c r="A13" s="17">
        <v>41506</v>
      </c>
      <c r="B13" s="25" t="s">
        <v>13</v>
      </c>
      <c r="C13" s="26">
        <v>1</v>
      </c>
      <c r="D13" s="27" t="s">
        <v>14</v>
      </c>
      <c r="E13" s="47">
        <v>334</v>
      </c>
      <c r="F13" s="46"/>
      <c r="G13" s="46">
        <f t="shared" si="0"/>
        <v>1408</v>
      </c>
    </row>
    <row r="14" spans="1:9" s="28" customFormat="1" ht="14.85" customHeight="1" x14ac:dyDescent="0.2">
      <c r="A14" s="17">
        <v>41176</v>
      </c>
      <c r="B14" s="29" t="s">
        <v>15</v>
      </c>
      <c r="C14" s="29">
        <v>1</v>
      </c>
      <c r="D14" s="30" t="s">
        <v>16</v>
      </c>
      <c r="E14" s="48">
        <v>16500</v>
      </c>
      <c r="F14" s="46"/>
      <c r="G14" s="46">
        <f t="shared" si="0"/>
        <v>17908</v>
      </c>
    </row>
    <row r="15" spans="1:9" ht="14.85" customHeight="1" x14ac:dyDescent="0.25">
      <c r="A15" s="17">
        <v>41176</v>
      </c>
      <c r="B15" s="26" t="s">
        <v>17</v>
      </c>
      <c r="C15" s="29">
        <v>1</v>
      </c>
      <c r="D15" s="30" t="s">
        <v>18</v>
      </c>
      <c r="E15" s="48">
        <v>16500</v>
      </c>
      <c r="F15" s="46"/>
      <c r="G15" s="46">
        <f t="shared" si="0"/>
        <v>34408</v>
      </c>
      <c r="H15" s="31"/>
    </row>
    <row r="16" spans="1:9" ht="14.85" customHeight="1" x14ac:dyDescent="0.25">
      <c r="A16" s="17">
        <v>41176</v>
      </c>
      <c r="B16" s="29" t="s">
        <v>19</v>
      </c>
      <c r="C16" s="29">
        <v>1</v>
      </c>
      <c r="D16" s="30" t="s">
        <v>20</v>
      </c>
      <c r="E16" s="48">
        <v>16500</v>
      </c>
      <c r="F16" s="46"/>
      <c r="G16" s="46">
        <f t="shared" si="0"/>
        <v>50908</v>
      </c>
      <c r="H16" s="31"/>
    </row>
    <row r="17" spans="1:8" ht="16.5" customHeight="1" x14ac:dyDescent="0.25">
      <c r="A17" s="17">
        <v>41176</v>
      </c>
      <c r="B17" s="26" t="s">
        <v>21</v>
      </c>
      <c r="C17" s="26">
        <v>1</v>
      </c>
      <c r="D17" s="30" t="s">
        <v>22</v>
      </c>
      <c r="E17" s="46">
        <v>16500</v>
      </c>
      <c r="F17" s="46"/>
      <c r="G17" s="46">
        <f t="shared" si="0"/>
        <v>67408</v>
      </c>
      <c r="H17" s="31"/>
    </row>
    <row r="18" spans="1:8" ht="14.85" customHeight="1" x14ac:dyDescent="0.25">
      <c r="A18" s="17">
        <v>41176</v>
      </c>
      <c r="B18" s="26" t="s">
        <v>23</v>
      </c>
      <c r="C18" s="26">
        <v>1</v>
      </c>
      <c r="D18" s="30" t="s">
        <v>24</v>
      </c>
      <c r="E18" s="46">
        <v>16500</v>
      </c>
      <c r="F18" s="46"/>
      <c r="G18" s="46">
        <f t="shared" si="0"/>
        <v>83908</v>
      </c>
      <c r="H18" s="31"/>
    </row>
    <row r="19" spans="1:8" ht="14.85" customHeight="1" x14ac:dyDescent="0.25">
      <c r="A19" s="17">
        <v>41176</v>
      </c>
      <c r="B19" s="32" t="s">
        <v>25</v>
      </c>
      <c r="C19" s="29">
        <v>1</v>
      </c>
      <c r="D19" s="30" t="s">
        <v>26</v>
      </c>
      <c r="E19" s="48">
        <v>16500</v>
      </c>
      <c r="F19" s="46"/>
      <c r="G19" s="46">
        <f t="shared" si="0"/>
        <v>100408</v>
      </c>
      <c r="H19" s="31"/>
    </row>
    <row r="20" spans="1:8" ht="14.85" customHeight="1" x14ac:dyDescent="0.25">
      <c r="A20" s="17">
        <v>41176</v>
      </c>
      <c r="B20" s="26" t="s">
        <v>27</v>
      </c>
      <c r="C20" s="26">
        <v>1</v>
      </c>
      <c r="D20" s="30" t="s">
        <v>28</v>
      </c>
      <c r="E20" s="46">
        <v>16500</v>
      </c>
      <c r="F20" s="46"/>
      <c r="G20" s="46">
        <f t="shared" si="0"/>
        <v>116908</v>
      </c>
      <c r="H20" s="31"/>
    </row>
    <row r="21" spans="1:8" ht="14.85" customHeight="1" x14ac:dyDescent="0.25">
      <c r="A21" s="17">
        <v>41176</v>
      </c>
      <c r="B21" s="26" t="s">
        <v>29</v>
      </c>
      <c r="C21" s="26">
        <v>1</v>
      </c>
      <c r="D21" s="30" t="s">
        <v>30</v>
      </c>
      <c r="E21" s="46">
        <v>16500</v>
      </c>
      <c r="F21" s="46"/>
      <c r="G21" s="46">
        <f t="shared" si="0"/>
        <v>133408</v>
      </c>
      <c r="H21" s="31"/>
    </row>
    <row r="22" spans="1:8" ht="14.85" customHeight="1" x14ac:dyDescent="0.25">
      <c r="A22" s="17">
        <v>41176</v>
      </c>
      <c r="B22" s="29" t="s">
        <v>31</v>
      </c>
      <c r="C22" s="29">
        <v>1</v>
      </c>
      <c r="D22" s="30" t="s">
        <v>32</v>
      </c>
      <c r="E22" s="46">
        <v>16500</v>
      </c>
      <c r="F22" s="46"/>
      <c r="G22" s="46">
        <f t="shared" si="0"/>
        <v>149908</v>
      </c>
      <c r="H22" s="31"/>
    </row>
    <row r="23" spans="1:8" ht="14.85" customHeight="1" x14ac:dyDescent="0.25">
      <c r="A23" s="17">
        <v>41176</v>
      </c>
      <c r="B23" s="33" t="s">
        <v>33</v>
      </c>
      <c r="C23" s="29">
        <v>1</v>
      </c>
      <c r="D23" s="30" t="s">
        <v>34</v>
      </c>
      <c r="E23" s="47">
        <v>16500</v>
      </c>
      <c r="F23" s="45"/>
      <c r="G23" s="46">
        <f t="shared" si="0"/>
        <v>166408</v>
      </c>
      <c r="H23" s="31"/>
    </row>
    <row r="24" spans="1:8" s="35" customFormat="1" ht="14.85" customHeight="1" x14ac:dyDescent="0.3">
      <c r="A24" s="17">
        <v>41176</v>
      </c>
      <c r="B24" s="25" t="s">
        <v>35</v>
      </c>
      <c r="C24" s="29">
        <v>1</v>
      </c>
      <c r="D24" s="30" t="s">
        <v>36</v>
      </c>
      <c r="E24" s="48">
        <v>16500</v>
      </c>
      <c r="F24" s="45"/>
      <c r="G24" s="46">
        <f t="shared" si="0"/>
        <v>182908</v>
      </c>
      <c r="H24" s="34"/>
    </row>
    <row r="25" spans="1:8" s="35" customFormat="1" ht="14.85" customHeight="1" x14ac:dyDescent="0.3">
      <c r="A25" s="17">
        <v>41176</v>
      </c>
      <c r="B25" s="29" t="s">
        <v>37</v>
      </c>
      <c r="C25" s="29">
        <v>1</v>
      </c>
      <c r="D25" s="30" t="s">
        <v>38</v>
      </c>
      <c r="E25" s="47">
        <v>16500</v>
      </c>
      <c r="F25" s="46"/>
      <c r="G25" s="46">
        <f t="shared" si="0"/>
        <v>199408</v>
      </c>
      <c r="H25" s="34"/>
    </row>
    <row r="26" spans="1:8" ht="14.85" customHeight="1" x14ac:dyDescent="0.25">
      <c r="A26" s="17">
        <v>41176</v>
      </c>
      <c r="B26" s="25" t="s">
        <v>39</v>
      </c>
      <c r="C26" s="29">
        <v>1</v>
      </c>
      <c r="D26" s="30" t="s">
        <v>40</v>
      </c>
      <c r="E26" s="48">
        <v>16500</v>
      </c>
      <c r="F26" s="46"/>
      <c r="G26" s="46">
        <f t="shared" si="0"/>
        <v>215908</v>
      </c>
      <c r="H26" s="31"/>
    </row>
    <row r="27" spans="1:8" ht="14.85" customHeight="1" x14ac:dyDescent="0.25">
      <c r="A27" s="17">
        <v>41176</v>
      </c>
      <c r="B27" s="25" t="s">
        <v>41</v>
      </c>
      <c r="C27" s="29">
        <v>1</v>
      </c>
      <c r="D27" s="30" t="s">
        <v>42</v>
      </c>
      <c r="E27" s="47">
        <v>16500</v>
      </c>
      <c r="F27" s="46"/>
      <c r="G27" s="46">
        <f t="shared" si="0"/>
        <v>232408</v>
      </c>
      <c r="H27" s="31"/>
    </row>
    <row r="28" spans="1:8" ht="14.85" customHeight="1" x14ac:dyDescent="0.25">
      <c r="A28" s="17">
        <v>41176</v>
      </c>
      <c r="B28" s="26" t="s">
        <v>43</v>
      </c>
      <c r="C28" s="26">
        <v>1</v>
      </c>
      <c r="D28" s="30" t="s">
        <v>44</v>
      </c>
      <c r="E28" s="47">
        <v>16500</v>
      </c>
      <c r="F28" s="46"/>
      <c r="G28" s="46">
        <f t="shared" si="0"/>
        <v>248908</v>
      </c>
      <c r="H28" s="31"/>
    </row>
    <row r="29" spans="1:8" ht="14.85" customHeight="1" x14ac:dyDescent="0.25">
      <c r="A29" s="17">
        <v>43888</v>
      </c>
      <c r="B29" s="36" t="s">
        <v>45</v>
      </c>
      <c r="C29" s="26">
        <v>1</v>
      </c>
      <c r="D29" s="30" t="s">
        <v>46</v>
      </c>
      <c r="E29" s="49">
        <v>4928</v>
      </c>
      <c r="F29" s="46"/>
      <c r="G29" s="46">
        <f t="shared" si="0"/>
        <v>253836</v>
      </c>
      <c r="H29" s="31"/>
    </row>
    <row r="30" spans="1:8" x14ac:dyDescent="0.25">
      <c r="A30" s="17">
        <v>40141</v>
      </c>
      <c r="B30" s="29" t="s">
        <v>47</v>
      </c>
      <c r="C30" s="29">
        <v>1</v>
      </c>
      <c r="D30" s="30" t="s">
        <v>48</v>
      </c>
      <c r="E30" s="48">
        <v>405.47</v>
      </c>
      <c r="F30" s="48"/>
      <c r="G30" s="46">
        <f t="shared" si="0"/>
        <v>254241.47</v>
      </c>
      <c r="H30" s="31"/>
    </row>
    <row r="31" spans="1:8" x14ac:dyDescent="0.25">
      <c r="A31" s="17">
        <v>40141</v>
      </c>
      <c r="B31" s="37" t="s">
        <v>49</v>
      </c>
      <c r="C31" s="19">
        <v>1</v>
      </c>
      <c r="D31" s="38" t="s">
        <v>50</v>
      </c>
      <c r="E31" s="44">
        <v>1680.33</v>
      </c>
      <c r="F31" s="47"/>
      <c r="G31" s="46">
        <f t="shared" si="0"/>
        <v>255921.8</v>
      </c>
      <c r="H31" s="31"/>
    </row>
    <row r="32" spans="1:8" x14ac:dyDescent="0.25">
      <c r="A32" s="17"/>
      <c r="B32" s="26"/>
      <c r="C32" s="26"/>
      <c r="D32" s="39" t="s">
        <v>51</v>
      </c>
      <c r="E32" s="26"/>
      <c r="F32" s="26"/>
      <c r="G32" s="26"/>
      <c r="H32" s="31"/>
    </row>
    <row r="33" spans="1:10" x14ac:dyDescent="0.25">
      <c r="F33" s="40"/>
      <c r="G33" s="40"/>
      <c r="H33" s="31"/>
    </row>
    <row r="34" spans="1:10" x14ac:dyDescent="0.25">
      <c r="A34" s="57" t="s">
        <v>6</v>
      </c>
      <c r="H34" s="31"/>
    </row>
    <row r="35" spans="1:10" x14ac:dyDescent="0.25">
      <c r="E35" s="50" t="s">
        <v>7</v>
      </c>
      <c r="F35" s="50"/>
      <c r="G35" s="50"/>
      <c r="I35" s="40"/>
      <c r="J35" s="31"/>
    </row>
    <row r="36" spans="1:10" x14ac:dyDescent="0.25">
      <c r="A36" s="31"/>
      <c r="B36" s="31"/>
      <c r="C36" s="41"/>
      <c r="D36" s="42"/>
      <c r="E36" s="43"/>
      <c r="F36" s="41" t="s">
        <v>8</v>
      </c>
      <c r="G36" s="21"/>
      <c r="H36" s="31"/>
      <c r="I36" s="40"/>
      <c r="J36" s="31"/>
    </row>
    <row r="37" spans="1:10" hidden="1" x14ac:dyDescent="0.25"/>
    <row r="38" spans="1:10" hidden="1" x14ac:dyDescent="0.25"/>
    <row r="39" spans="1:10" hidden="1" x14ac:dyDescent="0.25"/>
    <row r="40" spans="1:10" hidden="1" x14ac:dyDescent="0.25"/>
    <row r="41" spans="1:10" hidden="1" x14ac:dyDescent="0.25"/>
    <row r="42" spans="1:10" hidden="1" x14ac:dyDescent="0.25"/>
    <row r="43" spans="1:10" hidden="1" x14ac:dyDescent="0.25"/>
    <row r="44" spans="1:10" hidden="1" x14ac:dyDescent="0.25"/>
    <row r="45" spans="1:10" hidden="1" x14ac:dyDescent="0.25"/>
    <row r="46" spans="1:10" hidden="1" x14ac:dyDescent="0.25"/>
    <row r="47" spans="1:10" hidden="1" x14ac:dyDescent="0.25"/>
    <row r="48" spans="1:10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</sheetData>
  <mergeCells count="4">
    <mergeCell ref="C4:E4"/>
    <mergeCell ref="C6:E6"/>
    <mergeCell ref="F4:G4"/>
    <mergeCell ref="F6:G6"/>
  </mergeCells>
  <pageMargins left="0.48" right="0.19685039370078741" top="0.74803149606299213" bottom="0.35433070866141742" header="0.31496062992125978" footer="0.31496062992125978"/>
  <pageSetup paperSize="5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605A3-3799-480D-BA92-4D606478F0FE}">
  <sheetPr>
    <tabColor rgb="FFFFFF00"/>
  </sheetPr>
  <dimension ref="A1:Q119"/>
  <sheetViews>
    <sheetView topLeftCell="A21" zoomScale="115" zoomScaleNormal="115" workbookViewId="0">
      <selection activeCell="A34" sqref="A34"/>
    </sheetView>
  </sheetViews>
  <sheetFormatPr baseColWidth="10" defaultColWidth="11.44140625" defaultRowHeight="13.8" x14ac:dyDescent="0.25"/>
  <cols>
    <col min="1" max="1" width="11.5546875" style="2" customWidth="1"/>
    <col min="2" max="2" width="12.44140625" style="2" customWidth="1"/>
    <col min="3" max="3" width="12" style="1" customWidth="1"/>
    <col min="4" max="4" width="55.33203125" style="2" customWidth="1"/>
    <col min="5" max="5" width="12.109375" style="3" customWidth="1"/>
    <col min="6" max="6" width="13.88671875" style="1" customWidth="1"/>
    <col min="7" max="7" width="11.44140625" style="1" customWidth="1"/>
    <col min="8" max="8" width="11.44140625" style="2" customWidth="1"/>
    <col min="9" max="17" width="13" style="4" hidden="1" customWidth="1"/>
    <col min="18" max="16384" width="11.44140625" style="2"/>
  </cols>
  <sheetData>
    <row r="1" spans="1:9" ht="12.6" customHeight="1" x14ac:dyDescent="0.25">
      <c r="A1" s="1"/>
    </row>
    <row r="2" spans="1:9" ht="12.6" customHeight="1" x14ac:dyDescent="0.25">
      <c r="A2" s="1"/>
    </row>
    <row r="3" spans="1:9" ht="12" customHeight="1" x14ac:dyDescent="0.25"/>
    <row r="4" spans="1:9" ht="25.5" customHeight="1" x14ac:dyDescent="0.35">
      <c r="A4" s="5"/>
      <c r="B4" s="6"/>
      <c r="C4" s="55" t="s">
        <v>0</v>
      </c>
      <c r="D4" s="55"/>
      <c r="E4" s="55"/>
      <c r="F4" s="56" t="s">
        <v>1</v>
      </c>
      <c r="G4" s="56"/>
      <c r="I4" s="7"/>
    </row>
    <row r="5" spans="1:9" ht="6" customHeight="1" x14ac:dyDescent="0.35">
      <c r="A5" s="5"/>
      <c r="B5" s="5"/>
      <c r="C5" s="6"/>
      <c r="D5" s="6"/>
      <c r="E5" s="6"/>
      <c r="F5" s="6"/>
      <c r="G5" s="6"/>
      <c r="H5" s="6"/>
      <c r="I5" s="7"/>
    </row>
    <row r="6" spans="1:9" ht="15" customHeight="1" x14ac:dyDescent="0.25">
      <c r="A6" s="5"/>
      <c r="B6" s="6"/>
      <c r="C6" s="56" t="s">
        <v>2</v>
      </c>
      <c r="D6" s="56"/>
      <c r="E6" s="56"/>
      <c r="F6" s="56" t="s">
        <v>3</v>
      </c>
      <c r="G6" s="56"/>
    </row>
    <row r="7" spans="1:9" ht="18.75" customHeight="1" x14ac:dyDescent="0.25">
      <c r="A7" s="5"/>
      <c r="B7" s="5"/>
      <c r="C7" s="5"/>
      <c r="D7" s="6"/>
      <c r="E7" s="6"/>
      <c r="F7" s="6"/>
      <c r="G7" s="6"/>
      <c r="H7" s="6"/>
    </row>
    <row r="8" spans="1:9" ht="15" customHeight="1" x14ac:dyDescent="0.25">
      <c r="A8" s="8"/>
      <c r="B8" s="8"/>
      <c r="C8" s="8"/>
      <c r="D8" s="9"/>
      <c r="E8" s="10"/>
      <c r="F8" s="11"/>
    </row>
    <row r="9" spans="1:9" ht="12" customHeight="1" x14ac:dyDescent="0.25">
      <c r="B9" s="12"/>
    </row>
    <row r="10" spans="1:9" ht="12.75" customHeight="1" x14ac:dyDescent="0.25">
      <c r="A10" s="13"/>
      <c r="B10" s="14"/>
      <c r="C10" s="15"/>
      <c r="D10" s="39" t="s">
        <v>4</v>
      </c>
      <c r="E10" s="16"/>
      <c r="G10" s="53">
        <f>SUM('2158'!G11:G31)</f>
        <v>2767726.27</v>
      </c>
    </row>
    <row r="11" spans="1:9" s="22" customFormat="1" ht="14.85" customHeight="1" x14ac:dyDescent="0.3">
      <c r="A11" s="17">
        <v>38717</v>
      </c>
      <c r="B11" s="18" t="s">
        <v>9</v>
      </c>
      <c r="C11" s="19">
        <v>1</v>
      </c>
      <c r="D11" s="20" t="s">
        <v>10</v>
      </c>
      <c r="E11" s="44">
        <v>125</v>
      </c>
      <c r="F11" s="45"/>
      <c r="G11" s="46">
        <f>(E11)</f>
        <v>125</v>
      </c>
    </row>
    <row r="12" spans="1:9" s="22" customFormat="1" ht="14.85" customHeight="1" x14ac:dyDescent="0.3">
      <c r="A12" s="17">
        <v>45127</v>
      </c>
      <c r="B12" s="23" t="s">
        <v>11</v>
      </c>
      <c r="C12" s="24">
        <v>1</v>
      </c>
      <c r="D12" s="20" t="s">
        <v>12</v>
      </c>
      <c r="E12" s="44">
        <v>949</v>
      </c>
      <c r="F12" s="47"/>
      <c r="G12" s="46">
        <f t="shared" ref="G12:G31" si="0">G11+E12</f>
        <v>1074</v>
      </c>
    </row>
    <row r="13" spans="1:9" s="28" customFormat="1" ht="14.85" customHeight="1" x14ac:dyDescent="0.2">
      <c r="A13" s="17">
        <v>41506</v>
      </c>
      <c r="B13" s="25" t="s">
        <v>13</v>
      </c>
      <c r="C13" s="26">
        <v>1</v>
      </c>
      <c r="D13" s="27" t="s">
        <v>14</v>
      </c>
      <c r="E13" s="47">
        <v>334</v>
      </c>
      <c r="F13" s="46"/>
      <c r="G13" s="46">
        <f t="shared" si="0"/>
        <v>1408</v>
      </c>
    </row>
    <row r="14" spans="1:9" s="28" customFormat="1" ht="14.85" customHeight="1" x14ac:dyDescent="0.2">
      <c r="A14" s="17">
        <v>41176</v>
      </c>
      <c r="B14" s="29" t="s">
        <v>15</v>
      </c>
      <c r="C14" s="29">
        <v>1</v>
      </c>
      <c r="D14" s="30" t="s">
        <v>16</v>
      </c>
      <c r="E14" s="48">
        <v>16500</v>
      </c>
      <c r="F14" s="46"/>
      <c r="G14" s="46">
        <f t="shared" si="0"/>
        <v>17908</v>
      </c>
    </row>
    <row r="15" spans="1:9" ht="14.85" customHeight="1" x14ac:dyDescent="0.25">
      <c r="A15" s="17">
        <v>41176</v>
      </c>
      <c r="B15" s="26" t="s">
        <v>17</v>
      </c>
      <c r="C15" s="29">
        <v>1</v>
      </c>
      <c r="D15" s="30" t="s">
        <v>18</v>
      </c>
      <c r="E15" s="48">
        <v>16500</v>
      </c>
      <c r="F15" s="46"/>
      <c r="G15" s="46">
        <f t="shared" si="0"/>
        <v>34408</v>
      </c>
      <c r="H15" s="31"/>
    </row>
    <row r="16" spans="1:9" ht="14.85" customHeight="1" x14ac:dyDescent="0.25">
      <c r="A16" s="17">
        <v>41176</v>
      </c>
      <c r="B16" s="29" t="s">
        <v>19</v>
      </c>
      <c r="C16" s="29">
        <v>1</v>
      </c>
      <c r="D16" s="30" t="s">
        <v>20</v>
      </c>
      <c r="E16" s="48">
        <v>16500</v>
      </c>
      <c r="F16" s="46"/>
      <c r="G16" s="46">
        <f t="shared" si="0"/>
        <v>50908</v>
      </c>
      <c r="H16" s="31"/>
    </row>
    <row r="17" spans="1:8" ht="16.5" customHeight="1" x14ac:dyDescent="0.25">
      <c r="A17" s="17">
        <v>41176</v>
      </c>
      <c r="B17" s="26" t="s">
        <v>21</v>
      </c>
      <c r="C17" s="26">
        <v>1</v>
      </c>
      <c r="D17" s="30" t="s">
        <v>22</v>
      </c>
      <c r="E17" s="46">
        <v>16500</v>
      </c>
      <c r="F17" s="46"/>
      <c r="G17" s="46">
        <f t="shared" si="0"/>
        <v>67408</v>
      </c>
      <c r="H17" s="31"/>
    </row>
    <row r="18" spans="1:8" ht="14.85" customHeight="1" x14ac:dyDescent="0.25">
      <c r="A18" s="17">
        <v>41176</v>
      </c>
      <c r="B18" s="26" t="s">
        <v>23</v>
      </c>
      <c r="C18" s="26">
        <v>1</v>
      </c>
      <c r="D18" s="30" t="s">
        <v>24</v>
      </c>
      <c r="E18" s="46">
        <v>16500</v>
      </c>
      <c r="F18" s="46"/>
      <c r="G18" s="46">
        <f t="shared" si="0"/>
        <v>83908</v>
      </c>
      <c r="H18" s="31"/>
    </row>
    <row r="19" spans="1:8" ht="14.85" customHeight="1" x14ac:dyDescent="0.25">
      <c r="A19" s="17">
        <v>41176</v>
      </c>
      <c r="B19" s="32" t="s">
        <v>25</v>
      </c>
      <c r="C19" s="29">
        <v>1</v>
      </c>
      <c r="D19" s="30" t="s">
        <v>26</v>
      </c>
      <c r="E19" s="48">
        <v>16500</v>
      </c>
      <c r="F19" s="46"/>
      <c r="G19" s="46">
        <f t="shared" si="0"/>
        <v>100408</v>
      </c>
      <c r="H19" s="31"/>
    </row>
    <row r="20" spans="1:8" ht="14.85" customHeight="1" x14ac:dyDescent="0.25">
      <c r="A20" s="17">
        <v>41176</v>
      </c>
      <c r="B20" s="26" t="s">
        <v>27</v>
      </c>
      <c r="C20" s="26">
        <v>1</v>
      </c>
      <c r="D20" s="30" t="s">
        <v>28</v>
      </c>
      <c r="E20" s="46">
        <v>16500</v>
      </c>
      <c r="F20" s="46"/>
      <c r="G20" s="46">
        <f t="shared" si="0"/>
        <v>116908</v>
      </c>
      <c r="H20" s="31"/>
    </row>
    <row r="21" spans="1:8" ht="14.85" customHeight="1" x14ac:dyDescent="0.25">
      <c r="A21" s="17">
        <v>41176</v>
      </c>
      <c r="B21" s="26" t="s">
        <v>29</v>
      </c>
      <c r="C21" s="26">
        <v>1</v>
      </c>
      <c r="D21" s="30" t="s">
        <v>30</v>
      </c>
      <c r="E21" s="46">
        <v>16500</v>
      </c>
      <c r="F21" s="46"/>
      <c r="G21" s="46">
        <f t="shared" si="0"/>
        <v>133408</v>
      </c>
      <c r="H21" s="31"/>
    </row>
    <row r="22" spans="1:8" ht="14.85" customHeight="1" x14ac:dyDescent="0.25">
      <c r="A22" s="17">
        <v>41176</v>
      </c>
      <c r="B22" s="29" t="s">
        <v>31</v>
      </c>
      <c r="C22" s="29">
        <v>1</v>
      </c>
      <c r="D22" s="30" t="s">
        <v>32</v>
      </c>
      <c r="E22" s="46">
        <v>16500</v>
      </c>
      <c r="F22" s="46"/>
      <c r="G22" s="46">
        <f t="shared" si="0"/>
        <v>149908</v>
      </c>
      <c r="H22" s="31"/>
    </row>
    <row r="23" spans="1:8" ht="14.85" customHeight="1" x14ac:dyDescent="0.25">
      <c r="A23" s="17">
        <v>41176</v>
      </c>
      <c r="B23" s="33" t="s">
        <v>33</v>
      </c>
      <c r="C23" s="29">
        <v>1</v>
      </c>
      <c r="D23" s="30" t="s">
        <v>34</v>
      </c>
      <c r="E23" s="47">
        <v>16500</v>
      </c>
      <c r="F23" s="45"/>
      <c r="G23" s="46">
        <f t="shared" si="0"/>
        <v>166408</v>
      </c>
      <c r="H23" s="31"/>
    </row>
    <row r="24" spans="1:8" s="35" customFormat="1" ht="14.85" customHeight="1" x14ac:dyDescent="0.3">
      <c r="A24" s="17">
        <v>41176</v>
      </c>
      <c r="B24" s="25" t="s">
        <v>35</v>
      </c>
      <c r="C24" s="29">
        <v>1</v>
      </c>
      <c r="D24" s="30" t="s">
        <v>36</v>
      </c>
      <c r="E24" s="48">
        <v>16500</v>
      </c>
      <c r="F24" s="45"/>
      <c r="G24" s="46">
        <f t="shared" si="0"/>
        <v>182908</v>
      </c>
      <c r="H24" s="34"/>
    </row>
    <row r="25" spans="1:8" s="35" customFormat="1" ht="14.85" customHeight="1" x14ac:dyDescent="0.3">
      <c r="A25" s="17">
        <v>41176</v>
      </c>
      <c r="B25" s="29" t="s">
        <v>37</v>
      </c>
      <c r="C25" s="29">
        <v>1</v>
      </c>
      <c r="D25" s="30" t="s">
        <v>38</v>
      </c>
      <c r="E25" s="47">
        <v>16500</v>
      </c>
      <c r="F25" s="46"/>
      <c r="G25" s="46">
        <f t="shared" si="0"/>
        <v>199408</v>
      </c>
      <c r="H25" s="34"/>
    </row>
    <row r="26" spans="1:8" ht="14.85" customHeight="1" x14ac:dyDescent="0.25">
      <c r="A26" s="17">
        <v>41176</v>
      </c>
      <c r="B26" s="25" t="s">
        <v>39</v>
      </c>
      <c r="C26" s="29">
        <v>1</v>
      </c>
      <c r="D26" s="30" t="s">
        <v>40</v>
      </c>
      <c r="E26" s="48">
        <v>16500</v>
      </c>
      <c r="F26" s="46"/>
      <c r="G26" s="46">
        <f t="shared" si="0"/>
        <v>215908</v>
      </c>
      <c r="H26" s="31"/>
    </row>
    <row r="27" spans="1:8" ht="14.85" customHeight="1" x14ac:dyDescent="0.25">
      <c r="A27" s="17">
        <v>41176</v>
      </c>
      <c r="B27" s="25" t="s">
        <v>41</v>
      </c>
      <c r="C27" s="29">
        <v>1</v>
      </c>
      <c r="D27" s="30" t="s">
        <v>42</v>
      </c>
      <c r="E27" s="47">
        <v>16500</v>
      </c>
      <c r="F27" s="46"/>
      <c r="G27" s="46">
        <f t="shared" si="0"/>
        <v>232408</v>
      </c>
      <c r="H27" s="31"/>
    </row>
    <row r="28" spans="1:8" ht="14.85" customHeight="1" x14ac:dyDescent="0.25">
      <c r="A28" s="17">
        <v>41176</v>
      </c>
      <c r="B28" s="26" t="s">
        <v>43</v>
      </c>
      <c r="C28" s="26">
        <v>1</v>
      </c>
      <c r="D28" s="30" t="s">
        <v>44</v>
      </c>
      <c r="E28" s="47">
        <v>16500</v>
      </c>
      <c r="F28" s="46"/>
      <c r="G28" s="46">
        <f t="shared" si="0"/>
        <v>248908</v>
      </c>
      <c r="H28" s="31"/>
    </row>
    <row r="29" spans="1:8" ht="14.85" customHeight="1" x14ac:dyDescent="0.25">
      <c r="A29" s="17">
        <v>43888</v>
      </c>
      <c r="B29" s="36" t="s">
        <v>45</v>
      </c>
      <c r="C29" s="26">
        <v>1</v>
      </c>
      <c r="D29" s="30" t="s">
        <v>46</v>
      </c>
      <c r="E29" s="49">
        <v>4928</v>
      </c>
      <c r="F29" s="46"/>
      <c r="G29" s="46">
        <f t="shared" si="0"/>
        <v>253836</v>
      </c>
      <c r="H29" s="31"/>
    </row>
    <row r="30" spans="1:8" x14ac:dyDescent="0.25">
      <c r="A30" s="17">
        <v>40141</v>
      </c>
      <c r="B30" s="29" t="s">
        <v>47</v>
      </c>
      <c r="C30" s="29">
        <v>1</v>
      </c>
      <c r="D30" s="30" t="s">
        <v>48</v>
      </c>
      <c r="E30" s="48">
        <v>405.47</v>
      </c>
      <c r="F30" s="48"/>
      <c r="G30" s="46">
        <f t="shared" si="0"/>
        <v>254241.47</v>
      </c>
      <c r="H30" s="31"/>
    </row>
    <row r="31" spans="1:8" x14ac:dyDescent="0.25">
      <c r="A31" s="17">
        <v>40141</v>
      </c>
      <c r="B31" s="37" t="s">
        <v>49</v>
      </c>
      <c r="C31" s="19">
        <v>1</v>
      </c>
      <c r="D31" s="38" t="s">
        <v>50</v>
      </c>
      <c r="E31" s="44">
        <v>1680.33</v>
      </c>
      <c r="F31" s="47"/>
      <c r="G31" s="46">
        <f t="shared" si="0"/>
        <v>255921.8</v>
      </c>
      <c r="H31" s="31"/>
    </row>
    <row r="32" spans="1:8" x14ac:dyDescent="0.25">
      <c r="A32" s="17"/>
      <c r="B32" s="26"/>
      <c r="C32" s="26"/>
      <c r="D32" s="39" t="s">
        <v>51</v>
      </c>
      <c r="E32" s="26"/>
      <c r="F32" s="26"/>
      <c r="G32" s="26"/>
      <c r="H32" s="31"/>
    </row>
    <row r="33" spans="1:10" x14ac:dyDescent="0.25">
      <c r="F33" s="40"/>
      <c r="G33" s="40"/>
      <c r="H33" s="31"/>
    </row>
    <row r="34" spans="1:10" x14ac:dyDescent="0.25">
      <c r="A34" s="57" t="s">
        <v>6</v>
      </c>
      <c r="H34" s="31"/>
    </row>
    <row r="35" spans="1:10" x14ac:dyDescent="0.25">
      <c r="E35" s="50" t="s">
        <v>7</v>
      </c>
      <c r="F35" s="50"/>
      <c r="G35" s="50"/>
      <c r="I35" s="40"/>
      <c r="J35" s="31"/>
    </row>
    <row r="36" spans="1:10" x14ac:dyDescent="0.25">
      <c r="A36" s="31"/>
      <c r="B36" s="31"/>
      <c r="C36" s="41"/>
      <c r="D36" s="42"/>
      <c r="E36" s="43"/>
      <c r="F36" s="41" t="s">
        <v>8</v>
      </c>
      <c r="G36" s="21"/>
      <c r="H36" s="31"/>
      <c r="I36" s="40"/>
      <c r="J36" s="31"/>
    </row>
    <row r="37" spans="1:10" hidden="1" x14ac:dyDescent="0.25"/>
    <row r="38" spans="1:10" hidden="1" x14ac:dyDescent="0.25"/>
    <row r="39" spans="1:10" hidden="1" x14ac:dyDescent="0.25"/>
    <row r="40" spans="1:10" hidden="1" x14ac:dyDescent="0.25"/>
    <row r="41" spans="1:10" hidden="1" x14ac:dyDescent="0.25"/>
    <row r="42" spans="1:10" hidden="1" x14ac:dyDescent="0.25"/>
    <row r="43" spans="1:10" hidden="1" x14ac:dyDescent="0.25"/>
    <row r="44" spans="1:10" hidden="1" x14ac:dyDescent="0.25"/>
    <row r="45" spans="1:10" hidden="1" x14ac:dyDescent="0.25"/>
    <row r="46" spans="1:10" hidden="1" x14ac:dyDescent="0.25"/>
    <row r="47" spans="1:10" hidden="1" x14ac:dyDescent="0.25"/>
    <row r="48" spans="1:10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</sheetData>
  <mergeCells count="4">
    <mergeCell ref="C4:E4"/>
    <mergeCell ref="F4:G4"/>
    <mergeCell ref="C6:E6"/>
    <mergeCell ref="F6:G6"/>
  </mergeCells>
  <pageMargins left="0.48" right="0.19685039370078741" top="0.74803149606299213" bottom="0.35433070866141742" header="0.31496062992125978" footer="0.31496062992125978"/>
  <pageSetup paperSize="5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E6F00-783E-4082-85D8-2F85C1B6162E}">
  <sheetPr>
    <tabColor rgb="FFFFFF00"/>
  </sheetPr>
  <dimension ref="A1:Q119"/>
  <sheetViews>
    <sheetView tabSelected="1" topLeftCell="A14" zoomScale="115" zoomScaleNormal="115" workbookViewId="0">
      <selection activeCell="D27" sqref="D27"/>
    </sheetView>
  </sheetViews>
  <sheetFormatPr baseColWidth="10" defaultColWidth="11.44140625" defaultRowHeight="13.8" x14ac:dyDescent="0.25"/>
  <cols>
    <col min="1" max="1" width="11.5546875" style="2" customWidth="1"/>
    <col min="2" max="2" width="12.44140625" style="2" customWidth="1"/>
    <col min="3" max="3" width="12" style="1" customWidth="1"/>
    <col min="4" max="4" width="55.33203125" style="2" customWidth="1"/>
    <col min="5" max="5" width="12.109375" style="3" customWidth="1"/>
    <col min="6" max="6" width="13.88671875" style="1" customWidth="1"/>
    <col min="7" max="7" width="11.44140625" style="1" customWidth="1"/>
    <col min="8" max="8" width="11.44140625" style="2" customWidth="1"/>
    <col min="9" max="17" width="13" style="4" hidden="1" customWidth="1"/>
    <col min="18" max="16384" width="11.44140625" style="2"/>
  </cols>
  <sheetData>
    <row r="1" spans="1:9" ht="12.6" customHeight="1" x14ac:dyDescent="0.25">
      <c r="A1" s="1"/>
    </row>
    <row r="2" spans="1:9" ht="12.6" customHeight="1" x14ac:dyDescent="0.25">
      <c r="A2" s="1"/>
    </row>
    <row r="3" spans="1:9" ht="12" customHeight="1" x14ac:dyDescent="0.25"/>
    <row r="4" spans="1:9" ht="25.5" customHeight="1" x14ac:dyDescent="0.35">
      <c r="A4" s="5"/>
      <c r="B4" s="6"/>
      <c r="C4" s="55" t="s">
        <v>0</v>
      </c>
      <c r="D4" s="55"/>
      <c r="E4" s="55"/>
      <c r="F4" s="56" t="s">
        <v>1</v>
      </c>
      <c r="G4" s="56"/>
      <c r="I4" s="7"/>
    </row>
    <row r="5" spans="1:9" ht="6" customHeight="1" x14ac:dyDescent="0.35">
      <c r="A5" s="5"/>
      <c r="B5" s="5"/>
      <c r="C5" s="6"/>
      <c r="D5" s="6"/>
      <c r="E5" s="6"/>
      <c r="F5" s="6"/>
      <c r="G5" s="6"/>
      <c r="H5" s="6"/>
      <c r="I5" s="7"/>
    </row>
    <row r="6" spans="1:9" ht="15" customHeight="1" x14ac:dyDescent="0.25">
      <c r="A6" s="5"/>
      <c r="B6" s="6"/>
      <c r="C6" s="56" t="s">
        <v>2</v>
      </c>
      <c r="D6" s="56"/>
      <c r="E6" s="56"/>
      <c r="F6" s="56" t="s">
        <v>3</v>
      </c>
      <c r="G6" s="56"/>
    </row>
    <row r="7" spans="1:9" ht="18.75" customHeight="1" x14ac:dyDescent="0.25">
      <c r="A7" s="5"/>
      <c r="B7" s="5"/>
      <c r="C7" s="5"/>
      <c r="D7" s="6"/>
      <c r="E7" s="6"/>
      <c r="F7" s="6"/>
      <c r="G7" s="6"/>
      <c r="H7" s="6"/>
    </row>
    <row r="8" spans="1:9" ht="15" customHeight="1" x14ac:dyDescent="0.25">
      <c r="A8" s="8"/>
      <c r="B8" s="8"/>
      <c r="C8" s="8"/>
      <c r="D8" s="9"/>
      <c r="E8" s="10"/>
      <c r="F8" s="11"/>
    </row>
    <row r="9" spans="1:9" ht="12" customHeight="1" x14ac:dyDescent="0.25">
      <c r="B9" s="12"/>
    </row>
    <row r="10" spans="1:9" ht="12.75" customHeight="1" x14ac:dyDescent="0.25">
      <c r="A10" s="13"/>
      <c r="B10" s="14"/>
      <c r="C10" s="15"/>
      <c r="D10" s="39" t="s">
        <v>4</v>
      </c>
      <c r="E10" s="16"/>
      <c r="G10" s="54">
        <f>SUM('2158 (2)'!G10:G31)</f>
        <v>5535452.5399999991</v>
      </c>
    </row>
    <row r="11" spans="1:9" s="22" customFormat="1" ht="14.85" customHeight="1" x14ac:dyDescent="0.3">
      <c r="A11" s="17">
        <v>38717</v>
      </c>
      <c r="B11" s="18" t="s">
        <v>9</v>
      </c>
      <c r="C11" s="19">
        <v>1</v>
      </c>
      <c r="D11" s="20" t="s">
        <v>10</v>
      </c>
      <c r="E11" s="44">
        <v>125</v>
      </c>
      <c r="F11" s="45"/>
      <c r="G11" s="46">
        <f>(E11)</f>
        <v>125</v>
      </c>
    </row>
    <row r="12" spans="1:9" s="22" customFormat="1" ht="14.85" customHeight="1" x14ac:dyDescent="0.3">
      <c r="A12" s="17">
        <v>45127</v>
      </c>
      <c r="B12" s="23" t="s">
        <v>11</v>
      </c>
      <c r="C12" s="24">
        <v>1</v>
      </c>
      <c r="D12" s="20" t="s">
        <v>12</v>
      </c>
      <c r="E12" s="44">
        <v>949</v>
      </c>
      <c r="F12" s="47"/>
      <c r="G12" s="46">
        <f t="shared" ref="G12:G21" si="0">G11+E12</f>
        <v>1074</v>
      </c>
    </row>
    <row r="13" spans="1:9" s="28" customFormat="1" ht="14.85" customHeight="1" x14ac:dyDescent="0.2">
      <c r="A13" s="17">
        <v>41506</v>
      </c>
      <c r="B13" s="25" t="s">
        <v>13</v>
      </c>
      <c r="C13" s="26">
        <v>1</v>
      </c>
      <c r="D13" s="27" t="s">
        <v>14</v>
      </c>
      <c r="E13" s="47">
        <v>334</v>
      </c>
      <c r="F13" s="46"/>
      <c r="G13" s="46">
        <f t="shared" si="0"/>
        <v>1408</v>
      </c>
    </row>
    <row r="14" spans="1:9" s="28" customFormat="1" ht="14.85" customHeight="1" x14ac:dyDescent="0.2">
      <c r="A14" s="17">
        <v>41176</v>
      </c>
      <c r="B14" s="29" t="s">
        <v>15</v>
      </c>
      <c r="C14" s="29">
        <v>1</v>
      </c>
      <c r="D14" s="30" t="s">
        <v>16</v>
      </c>
      <c r="E14" s="48">
        <v>16500</v>
      </c>
      <c r="F14" s="46"/>
      <c r="G14" s="46">
        <f t="shared" si="0"/>
        <v>17908</v>
      </c>
    </row>
    <row r="15" spans="1:9" ht="14.85" customHeight="1" x14ac:dyDescent="0.25">
      <c r="A15" s="17">
        <v>41176</v>
      </c>
      <c r="B15" s="26" t="s">
        <v>17</v>
      </c>
      <c r="C15" s="29">
        <v>1</v>
      </c>
      <c r="D15" s="30" t="s">
        <v>18</v>
      </c>
      <c r="E15" s="48">
        <v>16500</v>
      </c>
      <c r="F15" s="46"/>
      <c r="G15" s="46">
        <f t="shared" si="0"/>
        <v>34408</v>
      </c>
      <c r="H15" s="31"/>
    </row>
    <row r="16" spans="1:9" ht="14.85" customHeight="1" x14ac:dyDescent="0.25">
      <c r="A16" s="17">
        <v>41176</v>
      </c>
      <c r="B16" s="29" t="s">
        <v>19</v>
      </c>
      <c r="C16" s="29">
        <v>1</v>
      </c>
      <c r="D16" s="30" t="s">
        <v>20</v>
      </c>
      <c r="E16" s="48">
        <v>16500</v>
      </c>
      <c r="F16" s="46"/>
      <c r="G16" s="46">
        <f t="shared" si="0"/>
        <v>50908</v>
      </c>
      <c r="H16" s="31"/>
    </row>
    <row r="17" spans="1:8" ht="16.5" customHeight="1" x14ac:dyDescent="0.25">
      <c r="A17" s="17">
        <v>41176</v>
      </c>
      <c r="B17" s="26" t="s">
        <v>21</v>
      </c>
      <c r="C17" s="26">
        <v>1</v>
      </c>
      <c r="D17" s="30" t="s">
        <v>22</v>
      </c>
      <c r="E17" s="46">
        <v>16500</v>
      </c>
      <c r="F17" s="46"/>
      <c r="G17" s="46">
        <f t="shared" si="0"/>
        <v>67408</v>
      </c>
      <c r="H17" s="31"/>
    </row>
    <row r="18" spans="1:8" ht="14.85" customHeight="1" x14ac:dyDescent="0.25">
      <c r="A18" s="17">
        <v>41176</v>
      </c>
      <c r="B18" s="26" t="s">
        <v>23</v>
      </c>
      <c r="C18" s="26">
        <v>1</v>
      </c>
      <c r="D18" s="30" t="s">
        <v>24</v>
      </c>
      <c r="E18" s="46">
        <v>16500</v>
      </c>
      <c r="F18" s="46"/>
      <c r="G18" s="46">
        <f t="shared" si="0"/>
        <v>83908</v>
      </c>
      <c r="H18" s="31"/>
    </row>
    <row r="19" spans="1:8" ht="14.85" customHeight="1" x14ac:dyDescent="0.25">
      <c r="A19" s="17">
        <v>41176</v>
      </c>
      <c r="B19" s="32" t="s">
        <v>25</v>
      </c>
      <c r="C19" s="29">
        <v>1</v>
      </c>
      <c r="D19" s="30" t="s">
        <v>26</v>
      </c>
      <c r="E19" s="48">
        <v>16500</v>
      </c>
      <c r="F19" s="46"/>
      <c r="G19" s="46">
        <f t="shared" si="0"/>
        <v>100408</v>
      </c>
      <c r="H19" s="31"/>
    </row>
    <row r="20" spans="1:8" ht="14.85" customHeight="1" x14ac:dyDescent="0.25">
      <c r="A20" s="17">
        <v>41176</v>
      </c>
      <c r="B20" s="26" t="s">
        <v>27</v>
      </c>
      <c r="C20" s="26">
        <v>1</v>
      </c>
      <c r="D20" s="30" t="s">
        <v>28</v>
      </c>
      <c r="E20" s="46">
        <v>16500</v>
      </c>
      <c r="F20" s="46"/>
      <c r="G20" s="46">
        <f t="shared" si="0"/>
        <v>116908</v>
      </c>
      <c r="H20" s="31"/>
    </row>
    <row r="21" spans="1:8" ht="14.85" customHeight="1" x14ac:dyDescent="0.25">
      <c r="A21" s="17">
        <v>41176</v>
      </c>
      <c r="B21" s="26" t="s">
        <v>29</v>
      </c>
      <c r="C21" s="26">
        <v>1</v>
      </c>
      <c r="D21" s="30" t="s">
        <v>30</v>
      </c>
      <c r="E21" s="46">
        <v>16500</v>
      </c>
      <c r="F21" s="46"/>
      <c r="G21" s="46">
        <f t="shared" si="0"/>
        <v>133408</v>
      </c>
      <c r="H21" s="31"/>
    </row>
    <row r="22" spans="1:8" ht="14.85" customHeight="1" x14ac:dyDescent="0.25">
      <c r="A22" s="17"/>
      <c r="B22" s="29"/>
      <c r="C22" s="29"/>
      <c r="D22" s="51" t="s">
        <v>5</v>
      </c>
      <c r="E22" s="46"/>
      <c r="F22" s="46"/>
      <c r="G22" s="52">
        <f>SUM(G10:G21)</f>
        <v>6143323.5399999991</v>
      </c>
      <c r="H22" s="31"/>
    </row>
    <row r="23" spans="1:8" ht="14.85" customHeight="1" x14ac:dyDescent="0.25">
      <c r="A23" s="17"/>
      <c r="B23" s="33"/>
      <c r="C23" s="29"/>
      <c r="D23" s="30"/>
      <c r="E23" s="47"/>
      <c r="F23" s="45"/>
      <c r="G23" s="46"/>
      <c r="H23" s="31"/>
    </row>
    <row r="24" spans="1:8" s="35" customFormat="1" ht="14.85" customHeight="1" x14ac:dyDescent="0.3">
      <c r="A24" s="17"/>
      <c r="B24" s="25"/>
      <c r="C24" s="29"/>
      <c r="D24" s="30"/>
      <c r="E24" s="48"/>
      <c r="F24" s="45"/>
      <c r="G24" s="46"/>
      <c r="H24" s="34"/>
    </row>
    <row r="25" spans="1:8" s="35" customFormat="1" ht="14.85" customHeight="1" x14ac:dyDescent="0.3">
      <c r="A25" s="17"/>
      <c r="B25" s="29"/>
      <c r="C25" s="29"/>
      <c r="D25" s="30"/>
      <c r="E25" s="47"/>
      <c r="F25" s="46"/>
      <c r="G25" s="46"/>
      <c r="H25" s="34"/>
    </row>
    <row r="26" spans="1:8" ht="14.85" customHeight="1" x14ac:dyDescent="0.25">
      <c r="A26" s="17"/>
      <c r="B26" s="25"/>
      <c r="C26" s="29"/>
      <c r="D26" s="30"/>
      <c r="E26" s="48"/>
      <c r="F26" s="46"/>
      <c r="G26" s="46"/>
      <c r="H26" s="31"/>
    </row>
    <row r="27" spans="1:8" ht="14.85" customHeight="1" x14ac:dyDescent="0.25">
      <c r="A27" s="17"/>
      <c r="B27" s="25"/>
      <c r="C27" s="29"/>
      <c r="D27" s="30"/>
      <c r="E27" s="47"/>
      <c r="F27" s="46"/>
      <c r="G27" s="46"/>
      <c r="H27" s="31"/>
    </row>
    <row r="28" spans="1:8" ht="14.85" customHeight="1" x14ac:dyDescent="0.25">
      <c r="A28" s="17"/>
      <c r="B28" s="26"/>
      <c r="C28" s="26"/>
      <c r="D28" s="30"/>
      <c r="E28" s="47"/>
      <c r="F28" s="46"/>
      <c r="G28" s="46"/>
      <c r="H28" s="31"/>
    </row>
    <row r="29" spans="1:8" ht="14.85" customHeight="1" x14ac:dyDescent="0.25">
      <c r="A29" s="17"/>
      <c r="B29" s="36"/>
      <c r="C29" s="26"/>
      <c r="D29" s="30"/>
      <c r="E29" s="49"/>
      <c r="F29" s="46"/>
      <c r="G29" s="46"/>
      <c r="H29" s="31"/>
    </row>
    <row r="30" spans="1:8" x14ac:dyDescent="0.25">
      <c r="A30" s="17"/>
      <c r="B30" s="29"/>
      <c r="C30" s="29"/>
      <c r="D30" s="30"/>
      <c r="E30" s="48"/>
      <c r="F30" s="48"/>
      <c r="G30" s="46"/>
      <c r="H30" s="31"/>
    </row>
    <row r="31" spans="1:8" x14ac:dyDescent="0.25">
      <c r="A31" s="17"/>
      <c r="B31" s="37"/>
      <c r="C31" s="19"/>
      <c r="D31" s="38"/>
      <c r="E31" s="44"/>
      <c r="F31" s="47"/>
      <c r="G31" s="46"/>
      <c r="H31" s="31"/>
    </row>
    <row r="32" spans="1:8" x14ac:dyDescent="0.25">
      <c r="A32" s="17"/>
      <c r="B32" s="26"/>
      <c r="C32" s="26"/>
      <c r="D32" s="39"/>
      <c r="E32" s="26"/>
      <c r="F32" s="26"/>
      <c r="G32" s="26"/>
      <c r="H32" s="31"/>
    </row>
    <row r="33" spans="1:10" x14ac:dyDescent="0.25">
      <c r="F33" s="40"/>
      <c r="G33" s="40"/>
      <c r="H33" s="31"/>
    </row>
    <row r="34" spans="1:10" x14ac:dyDescent="0.25">
      <c r="A34" s="57" t="s">
        <v>6</v>
      </c>
      <c r="H34" s="31"/>
    </row>
    <row r="35" spans="1:10" x14ac:dyDescent="0.25">
      <c r="E35" s="50" t="s">
        <v>7</v>
      </c>
      <c r="F35" s="50"/>
      <c r="G35" s="50"/>
      <c r="I35" s="40"/>
      <c r="J35" s="31"/>
    </row>
    <row r="36" spans="1:10" x14ac:dyDescent="0.25">
      <c r="A36" s="31"/>
      <c r="B36" s="31"/>
      <c r="C36" s="41"/>
      <c r="D36" s="42"/>
      <c r="E36" s="43"/>
      <c r="F36" s="41" t="s">
        <v>8</v>
      </c>
      <c r="G36" s="21"/>
      <c r="H36" s="31"/>
      <c r="I36" s="40"/>
      <c r="J36" s="31"/>
    </row>
    <row r="37" spans="1:10" hidden="1" x14ac:dyDescent="0.25"/>
    <row r="38" spans="1:10" hidden="1" x14ac:dyDescent="0.25"/>
    <row r="39" spans="1:10" hidden="1" x14ac:dyDescent="0.25"/>
    <row r="40" spans="1:10" hidden="1" x14ac:dyDescent="0.25"/>
    <row r="41" spans="1:10" hidden="1" x14ac:dyDescent="0.25"/>
    <row r="42" spans="1:10" hidden="1" x14ac:dyDescent="0.25"/>
    <row r="43" spans="1:10" hidden="1" x14ac:dyDescent="0.25"/>
    <row r="44" spans="1:10" hidden="1" x14ac:dyDescent="0.25"/>
    <row r="45" spans="1:10" hidden="1" x14ac:dyDescent="0.25"/>
    <row r="46" spans="1:10" hidden="1" x14ac:dyDescent="0.25"/>
    <row r="47" spans="1:10" hidden="1" x14ac:dyDescent="0.25"/>
    <row r="48" spans="1:10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</sheetData>
  <mergeCells count="4">
    <mergeCell ref="C4:E4"/>
    <mergeCell ref="F4:G4"/>
    <mergeCell ref="C6:E6"/>
    <mergeCell ref="F6:G6"/>
  </mergeCells>
  <pageMargins left="0.48" right="0.19685039370078741" top="0.74803149606299213" bottom="0.35433070866141742" header="0.31496062992125978" footer="0.31496062992125978"/>
  <pageSetup paperSize="5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2158</vt:lpstr>
      <vt:lpstr>2158 (2)</vt:lpstr>
      <vt:lpstr>2158 (3)</vt:lpstr>
      <vt:lpstr>'2158'!Área_de_impresión</vt:lpstr>
      <vt:lpstr>'2158 (2)'!Área_de_impresión</vt:lpstr>
      <vt:lpstr>'2158 (3)'!Área_de_impresión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Melissa Alejandra Vargas Guerra</cp:lastModifiedBy>
  <cp:lastPrinted>2026-08-14T03:17:58Z</cp:lastPrinted>
  <dcterms:created xsi:type="dcterms:W3CDTF">2018-10-18T21:54:30Z</dcterms:created>
  <dcterms:modified xsi:type="dcterms:W3CDTF">2026-08-14T03:38:02Z</dcterms:modified>
</cp:coreProperties>
</file>